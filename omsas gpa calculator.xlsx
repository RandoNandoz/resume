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dyzhu/Desktop/resume/"/>
    </mc:Choice>
  </mc:AlternateContent>
  <xr:revisionPtr revIDLastSave="0" documentId="13_ncr:1_{72E176F2-24F3-7C46-A2D1-BACBA98C6523}" xr6:coauthVersionLast="47" xr6:coauthVersionMax="47" xr10:uidLastSave="{00000000-0000-0000-0000-000000000000}"/>
  <bookViews>
    <workbookView xWindow="18000" yWindow="780" windowWidth="18000" windowHeight="22600" xr2:uid="{D17FC236-BBBD-6343-BC06-859C4F9877D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D3" i="1"/>
  <c r="E3" i="1" s="1"/>
  <c r="D4" i="1"/>
  <c r="E4" i="1"/>
  <c r="D5" i="1"/>
  <c r="E5" i="1" s="1"/>
  <c r="D6" i="1"/>
  <c r="E6" i="1" s="1"/>
  <c r="D7" i="1"/>
  <c r="E7" i="1" s="1"/>
  <c r="D8" i="1"/>
  <c r="E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/>
  <c r="D2" i="1"/>
  <c r="E2" i="1" s="1"/>
</calcChain>
</file>

<file path=xl/sharedStrings.xml><?xml version="1.0" encoding="utf-8"?>
<sst xmlns="http://schemas.openxmlformats.org/spreadsheetml/2006/main" count="55" uniqueCount="38">
  <si>
    <t>Grade</t>
  </si>
  <si>
    <t>Credits</t>
  </si>
  <si>
    <t>A</t>
  </si>
  <si>
    <t>A+</t>
  </si>
  <si>
    <t>A-</t>
  </si>
  <si>
    <t>B-</t>
  </si>
  <si>
    <t>Course</t>
  </si>
  <si>
    <t>CPSC 110</t>
  </si>
  <si>
    <t>CPSC 121</t>
  </si>
  <si>
    <t>CPSC 210</t>
  </si>
  <si>
    <t>MATH 100</t>
  </si>
  <si>
    <t>CPSC 213</t>
  </si>
  <si>
    <t>CPSC 221</t>
  </si>
  <si>
    <t>MATH 101</t>
  </si>
  <si>
    <t>SOCI 200</t>
  </si>
  <si>
    <t>GEOS 270</t>
  </si>
  <si>
    <t>LING 201</t>
  </si>
  <si>
    <t>MATH 221</t>
  </si>
  <si>
    <t>BIOL 345</t>
  </si>
  <si>
    <t>CPSC 310</t>
  </si>
  <si>
    <t>CPSC 311</t>
  </si>
  <si>
    <t>MATH 217</t>
  </si>
  <si>
    <t>CPSC 449</t>
  </si>
  <si>
    <t>CPSC 313</t>
  </si>
  <si>
    <t>CPSC 411</t>
  </si>
  <si>
    <t>PHYS 119</t>
  </si>
  <si>
    <t>STAT 302</t>
  </si>
  <si>
    <t>OUAC TABLE</t>
  </si>
  <si>
    <t>B+</t>
  </si>
  <si>
    <t>B</t>
  </si>
  <si>
    <t>C+</t>
  </si>
  <si>
    <t>C-</t>
  </si>
  <si>
    <t>D+</t>
  </si>
  <si>
    <t>D-</t>
  </si>
  <si>
    <t>F</t>
  </si>
  <si>
    <t>OMSAS Score</t>
  </si>
  <si>
    <t>Weighted GPA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</si>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</sst>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80FC-726A-9643-8ECE-C451CE42BB28}">
  <dimension ref="A1:H21"/>
  <sheetViews>
    <sheetView tabSelected="1" zoomScale="150" workbookViewId="0">
      <selection activeCell="F1" sqref="F1:F1048576"/>
    </sheetView>
  </sheetViews>
  <sheetFormatPr baseColWidth="10" defaultRowHeight="16" x14ac:dyDescent="0.2"/>
  <cols>
    <col min="6" max="6" width="10.83203125" style="1"/>
  </cols>
  <sheetData>
    <row r="1" spans="1:8" x14ac:dyDescent="0.2">
      <c r="A1" t="s">
        <v>6</v>
      </c>
      <c r="B1" t="s">
        <v>0</v>
      </c>
      <c r="C1" t="s">
        <v>1</v>
      </c>
      <c r="D1" t="s">
        <v>35</v>
      </c>
      <c r="E1" t="s">
        <v>36</v>
      </c>
      <c r="F1" s="1" t="s">
        <v>37</v>
      </c>
      <c r="G1" t="s">
        <v>27</v>
      </c>
    </row>
    <row r="2" spans="1:8" x14ac:dyDescent="0.2">
      <c r="A2" t="s">
        <v>7</v>
      </c>
      <c r="B2" t="s">
        <v>2</v>
      </c>
      <c r="C2">
        <v>4</v>
      </c>
      <c r="D2">
        <f>_xlfn.XLOOKUP(B2,G:G,H:H)</f>
        <v>3.9</v>
      </c>
      <c r="E2">
        <f>C2*D2</f>
        <v>15.6</v>
      </c>
      <c r="F2" s="1">
        <f>SUM(E:E)/SUM(C:C)</f>
        <v>3.8461538461538463</v>
      </c>
      <c r="G2" t="s">
        <v>3</v>
      </c>
      <c r="H2">
        <v>4</v>
      </c>
    </row>
    <row r="3" spans="1:8" x14ac:dyDescent="0.2">
      <c r="A3" t="s">
        <v>8</v>
      </c>
      <c r="B3" t="s">
        <v>3</v>
      </c>
      <c r="C3">
        <v>4</v>
      </c>
      <c r="D3">
        <f t="shared" ref="D3:D16" si="0">_xlfn.XLOOKUP(B3,G:G,H:H)</f>
        <v>4</v>
      </c>
      <c r="E3">
        <f t="shared" ref="E3:E16" si="1">C3*D3</f>
        <v>16</v>
      </c>
      <c r="G3" t="s">
        <v>2</v>
      </c>
      <c r="H3">
        <v>3.9</v>
      </c>
    </row>
    <row r="4" spans="1:8" x14ac:dyDescent="0.2">
      <c r="A4" t="s">
        <v>9</v>
      </c>
      <c r="B4" t="s">
        <v>3</v>
      </c>
      <c r="C4">
        <v>4</v>
      </c>
      <c r="D4">
        <f t="shared" si="0"/>
        <v>4</v>
      </c>
      <c r="E4">
        <f t="shared" si="1"/>
        <v>16</v>
      </c>
      <c r="G4" t="s">
        <v>4</v>
      </c>
      <c r="H4">
        <v>3.7</v>
      </c>
    </row>
    <row r="5" spans="1:8" x14ac:dyDescent="0.2">
      <c r="A5" t="s">
        <v>10</v>
      </c>
      <c r="B5" t="s">
        <v>4</v>
      </c>
      <c r="C5">
        <v>3</v>
      </c>
      <c r="D5">
        <f t="shared" si="0"/>
        <v>3.7</v>
      </c>
      <c r="E5">
        <f t="shared" si="1"/>
        <v>11.100000000000001</v>
      </c>
      <c r="G5" t="s">
        <v>28</v>
      </c>
      <c r="H5">
        <v>3.3</v>
      </c>
    </row>
    <row r="6" spans="1:8" x14ac:dyDescent="0.2">
      <c r="A6" t="s">
        <v>11</v>
      </c>
      <c r="B6" t="s">
        <v>3</v>
      </c>
      <c r="C6">
        <v>4</v>
      </c>
      <c r="D6">
        <f t="shared" si="0"/>
        <v>4</v>
      </c>
      <c r="E6">
        <f t="shared" si="1"/>
        <v>16</v>
      </c>
      <c r="G6" t="s">
        <v>29</v>
      </c>
      <c r="H6">
        <v>3</v>
      </c>
    </row>
    <row r="7" spans="1:8" x14ac:dyDescent="0.2">
      <c r="A7" t="s">
        <v>12</v>
      </c>
      <c r="B7" t="s">
        <v>2</v>
      </c>
      <c r="C7">
        <v>4</v>
      </c>
      <c r="D7">
        <f t="shared" si="0"/>
        <v>3.9</v>
      </c>
      <c r="E7">
        <f t="shared" si="1"/>
        <v>15.6</v>
      </c>
      <c r="G7" t="s">
        <v>5</v>
      </c>
      <c r="H7">
        <v>2.7</v>
      </c>
    </row>
    <row r="8" spans="1:8" x14ac:dyDescent="0.2">
      <c r="A8" t="s">
        <v>13</v>
      </c>
      <c r="B8" t="s">
        <v>3</v>
      </c>
      <c r="C8">
        <v>3</v>
      </c>
      <c r="D8">
        <f t="shared" si="0"/>
        <v>4</v>
      </c>
      <c r="E8">
        <f t="shared" si="1"/>
        <v>12</v>
      </c>
      <c r="G8" t="s">
        <v>30</v>
      </c>
      <c r="H8">
        <v>2.2999999999999998</v>
      </c>
    </row>
    <row r="9" spans="1:8" x14ac:dyDescent="0.2">
      <c r="A9" t="s">
        <v>14</v>
      </c>
      <c r="B9" t="s">
        <v>2</v>
      </c>
      <c r="C9">
        <v>3</v>
      </c>
      <c r="D9">
        <f t="shared" si="0"/>
        <v>3.9</v>
      </c>
      <c r="E9">
        <f t="shared" si="1"/>
        <v>11.7</v>
      </c>
      <c r="G9" t="s">
        <v>30</v>
      </c>
      <c r="H9">
        <v>2</v>
      </c>
    </row>
    <row r="10" spans="1:8" x14ac:dyDescent="0.2">
      <c r="A10" t="s">
        <v>15</v>
      </c>
      <c r="B10" t="s">
        <v>5</v>
      </c>
      <c r="C10">
        <v>3</v>
      </c>
      <c r="D10">
        <f t="shared" si="0"/>
        <v>2.7</v>
      </c>
      <c r="E10">
        <f t="shared" si="1"/>
        <v>8.1000000000000014</v>
      </c>
      <c r="G10" t="s">
        <v>31</v>
      </c>
      <c r="H10">
        <v>1.7</v>
      </c>
    </row>
    <row r="11" spans="1:8" x14ac:dyDescent="0.2">
      <c r="A11" t="s">
        <v>16</v>
      </c>
      <c r="B11" t="s">
        <v>3</v>
      </c>
      <c r="C11">
        <v>3</v>
      </c>
      <c r="D11">
        <f t="shared" si="0"/>
        <v>4</v>
      </c>
      <c r="E11">
        <f t="shared" si="1"/>
        <v>12</v>
      </c>
      <c r="G11" t="s">
        <v>32</v>
      </c>
      <c r="H11">
        <v>1.3</v>
      </c>
    </row>
    <row r="12" spans="1:8" x14ac:dyDescent="0.2">
      <c r="A12" t="s">
        <v>17</v>
      </c>
      <c r="B12" t="s">
        <v>3</v>
      </c>
      <c r="C12">
        <v>3</v>
      </c>
      <c r="D12">
        <f t="shared" si="0"/>
        <v>4</v>
      </c>
      <c r="E12">
        <f t="shared" si="1"/>
        <v>12</v>
      </c>
      <c r="G12" t="s">
        <v>32</v>
      </c>
      <c r="H12">
        <v>1</v>
      </c>
    </row>
    <row r="13" spans="1:8" x14ac:dyDescent="0.2">
      <c r="A13" t="s">
        <v>18</v>
      </c>
      <c r="B13" t="s">
        <v>4</v>
      </c>
      <c r="C13">
        <v>3</v>
      </c>
      <c r="D13">
        <f t="shared" si="0"/>
        <v>3.7</v>
      </c>
      <c r="E13">
        <f t="shared" si="1"/>
        <v>11.100000000000001</v>
      </c>
      <c r="G13" t="s">
        <v>33</v>
      </c>
      <c r="H13">
        <v>0.7</v>
      </c>
    </row>
    <row r="14" spans="1:8" x14ac:dyDescent="0.2">
      <c r="A14" t="s">
        <v>19</v>
      </c>
      <c r="B14" t="s">
        <v>3</v>
      </c>
      <c r="C14">
        <v>4</v>
      </c>
      <c r="D14">
        <f t="shared" si="0"/>
        <v>4</v>
      </c>
      <c r="E14">
        <f t="shared" si="1"/>
        <v>16</v>
      </c>
      <c r="G14" t="s">
        <v>34</v>
      </c>
      <c r="H14">
        <v>0</v>
      </c>
    </row>
    <row r="15" spans="1:8" x14ac:dyDescent="0.2">
      <c r="A15" t="s">
        <v>20</v>
      </c>
      <c r="B15" t="s">
        <v>3</v>
      </c>
      <c r="C15">
        <v>3</v>
      </c>
      <c r="D15">
        <f t="shared" si="0"/>
        <v>4</v>
      </c>
      <c r="E15">
        <f t="shared" si="1"/>
        <v>12</v>
      </c>
    </row>
    <row r="16" spans="1:8" x14ac:dyDescent="0.2">
      <c r="A16" t="s">
        <v>21</v>
      </c>
      <c r="B16" t="s">
        <v>4</v>
      </c>
      <c r="C16">
        <v>4</v>
      </c>
      <c r="D16">
        <f t="shared" si="0"/>
        <v>3.7</v>
      </c>
      <c r="E16">
        <f t="shared" si="1"/>
        <v>14.8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24</v>
      </c>
    </row>
    <row r="20" spans="1:1" x14ac:dyDescent="0.2">
      <c r="A20" t="s">
        <v>25</v>
      </c>
    </row>
    <row r="21" spans="1:1" x14ac:dyDescent="0.2">
      <c r="A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4AEE-C954-9D41-A3D8-6FD3E2CB6DA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Zhu</dc:creator>
  <cp:lastModifiedBy>Randy Zhu</cp:lastModifiedBy>
  <dcterms:created xsi:type="dcterms:W3CDTF">2026-04-22T03:55:42Z</dcterms:created>
  <dcterms:modified xsi:type="dcterms:W3CDTF">2026-04-22T04:01:14Z</dcterms:modified>
</cp:coreProperties>
</file>